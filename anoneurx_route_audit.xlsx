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te Audit" sheetId="1" state="visible" r:id="rId3"/>
    <sheet name="Fix List" sheetId="2" state="visible" r:id="rId4"/>
    <sheet name="Pages To Ad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<sst xmlns="http://schemas.openxmlformats.org/spreadsheetml/2006/main" count="157" uniqueCount="104">
  <si>
    <t xml:space="preserve">Route</t>
  </si>
  <si>
    <t xml:space="preserve">Current Title</t>
  </si>
  <si>
    <t xml:space="preserve">Title Length</t>
  </si>
  <si>
    <t xml:space="preserve">Title Check</t>
  </si>
  <si>
    <t xml:space="preserve">Meta Description</t>
  </si>
  <si>
    <t xml:space="preserve">Description Length</t>
  </si>
  <si>
    <t xml:space="preserve">Description Check</t>
  </si>
  <si>
    <t xml:space="preserve">Canonical</t>
  </si>
  <si>
    <t xml:space="preserve">Robots</t>
  </si>
  <si>
    <t xml:space="preserve">og:image</t>
  </si>
  <si>
    <t xml:space="preserve">twitter:image</t>
  </si>
  <si>
    <t xml:space="preserve">Twitter Card</t>
  </si>
  <si>
    <t xml:space="preserve">Meta Keywords</t>
  </si>
  <si>
    <t xml:space="preserve">Issues Found</t>
  </si>
  <si>
    <t xml:space="preserve">Suggested Title</t>
  </si>
  <si>
    <t xml:space="preserve">Suggested Description</t>
  </si>
  <si>
    <t xml:space="preserve">https://anoneurx.com/</t>
  </si>
  <si>
    <t xml:space="preserve">ANONEURX | Innovative Software, OS, AI, Cloud &amp; Open Source</t>
  </si>
  <si>
    <t xml:space="preserve">Anoneurx builds innovative software, operating systems, AI, cloud, and open source technologies — Black Wall, Nexora, Anoneurx Cloud, Pay and Research.</t>
  </si>
  <si>
    <t xml:space="preserve">Self-referencing</t>
  </si>
  <si>
    <t xml:space="preserve">index, follow</t>
  </si>
  <si>
    <t xml:space="preserve">Missing</t>
  </si>
  <si>
    <t xml:space="preserve">summary</t>
  </si>
  <si>
    <t xml:space="preserve">Generic (anoneurx, blackwall os, nexora...)</t>
  </si>
  <si>
    <t xml:space="preserve">No share image; vague 'innovative' wording; product name spelled 'Black Wall' in description but 'blackwall os' in keywords; body content not readable by crawler (possible JS rendering).</t>
  </si>
  <si>
    <t xml:space="preserve">Anoneurx | Open-Source Operating Systems, AI &amp; Cloud</t>
  </si>
  <si>
    <t xml:space="preserve">Anoneurx builds open-source operating systems, AI research, cloud and payment tools. Explore Black Wall, Nexora, Anoneurx Cloud, ASTRA and Anoneurx University.</t>
  </si>
  <si>
    <t xml:space="preserve">https://anoneurx.com/opensource</t>
  </si>
  <si>
    <t xml:space="preserve">ANONEURX | Open Source — Projects, Libraries &amp; Templates</t>
  </si>
  <si>
    <t xml:space="preserve">Explore Anoneurx open source — projects, libraries, packages, templates and VS Code extensions. Free forever, community-driven.</t>
  </si>
  <si>
    <t xml:space="preserve">Generic site-wide set (same as university)</t>
  </si>
  <si>
    <t xml:space="preserve">No share image; keywords copied from other pages; 'Free forever' is a promise you may want licence details for.</t>
  </si>
  <si>
    <t xml:space="preserve">Open Source Projects, Libraries &amp; Templates | Anoneurx</t>
  </si>
  <si>
    <t xml:space="preserve">Browse Anoneurx open-source projects, libraries, packages, templates and VS Code extensions. Free, community-driven and available on GitHub.</t>
  </si>
  <si>
    <t xml:space="preserve">https://anoneurx.com/astra</t>
  </si>
  <si>
    <t xml:space="preserve">ANONEURX | ASTRA — Self-Learning AI Research (Anoneurx Lab)</t>
  </si>
  <si>
    <t xml:space="preserve">ASTRA is an Anoneurx Lab research project in self-learning AI — a model that records, reflects and improves from its own experience. 20B parameters today, architected for a 1T target. In development.</t>
  </si>
  <si>
    <t xml:space="preserve">10 keywords (long list, keyword-stuffed)</t>
  </si>
  <si>
    <t xml:space="preserve">Description too long, will be cut in Google; no share image; keywords meta ignored by Google; 1T-parameter claim should be clearly labelled as a target.</t>
  </si>
  <si>
    <t xml:space="preserve">ASTRA | Self-Learning AI Research by Anoneurx Lab</t>
  </si>
  <si>
    <t xml:space="preserve">ASTRA is an Anoneurx Lab research project: a self-learning AI that records, reflects and improves from experience. 20B parameters today. In development.</t>
  </si>
  <si>
    <t xml:space="preserve">https://anoneurx.com/university</t>
  </si>
  <si>
    <t xml:space="preserve">ANONEURX | University | Courses, Faculty &amp; Programs</t>
  </si>
  <si>
    <t xml:space="preserve">Anoneurx University — degree programmes, certificates and short courses for engineers.</t>
  </si>
  <si>
    <t xml:space="preserve">Generic site-wide set (same as opensource)</t>
  </si>
  <si>
    <t xml:space="preserve">Description is short and generic; no share image; keywords copied from other pages; 'degree programmes' needs accreditation info to be credible.</t>
  </si>
  <si>
    <t xml:space="preserve">Anoneurx University | Courses, Certificates &amp; Programs</t>
  </si>
  <si>
    <t xml:space="preserve">Anoneurx University offers short courses, certificates and programmes in software, AI, cloud and operating systems for engineers. View courses and faculty.</t>
  </si>
  <si>
    <t xml:space="preserve">Pages with title issues</t>
  </si>
  <si>
    <t xml:space="preserve">Pages with description issues</t>
  </si>
  <si>
    <t xml:space="preserve">Notes: Title target 30-60 chars, description target 70-160 chars (Google display guidance). Only these 4 routes were fetched; body content was not readable, so only head metadata was audited.</t>
  </si>
  <si>
    <t xml:space="preserve">Priority</t>
  </si>
  <si>
    <t xml:space="preserve">Fix</t>
  </si>
  <si>
    <t xml:space="preserve">Applies To</t>
  </si>
  <si>
    <t xml:space="preserve">Effort</t>
  </si>
  <si>
    <t xml:space="preserve">High</t>
  </si>
  <si>
    <t xml:space="preserve">Add og:image and twitter:image (1200x630 px) to every page; switch twitter:card to summary_large_image</t>
  </si>
  <si>
    <t xml:space="preserve">All routes</t>
  </si>
  <si>
    <t xml:space="preserve">Low</t>
  </si>
  <si>
    <t xml:space="preserve">Confirm page content is server-rendered or pre-rendered so search engines can read it</t>
  </si>
  <si>
    <t xml:space="preserve">Medium</t>
  </si>
  <si>
    <t xml:space="preserve">Shorten ASTRA meta description to under 160 characters</t>
  </si>
  <si>
    <t xml:space="preserve">/astra</t>
  </si>
  <si>
    <t xml:space="preserve">Remove meta keywords tag (ignored by Google) or write unique ones per page</t>
  </si>
  <si>
    <t xml:space="preserve">Use one consistent spelling: 'Black Wall' or 'BlackWall'</t>
  </si>
  <si>
    <t xml:space="preserve">Home</t>
  </si>
  <si>
    <t xml:space="preserve">Expand University description and add accreditation / programme details</t>
  </si>
  <si>
    <t xml:space="preserve">/university</t>
  </si>
  <si>
    <t xml:space="preserve">Add Organization JSON-LD schema on home; Course schema on university; SoftwareSourceCode on opensource</t>
  </si>
  <si>
    <t xml:space="preserve">Home, University, Open Source</t>
  </si>
  <si>
    <t xml:space="preserve">Add sitemap.xml and robots.txt, then submit to Google Search Console</t>
  </si>
  <si>
    <t xml:space="preserve">Site-wide</t>
  </si>
  <si>
    <t xml:space="preserve">Add favicon and consistent brand header/footer with links to every route</t>
  </si>
  <si>
    <t xml:space="preserve">Add Privacy, Terms, Contact and Security pages</t>
  </si>
  <si>
    <t xml:space="preserve">Suggested Route</t>
  </si>
  <si>
    <t xml:space="preserve">Status</t>
  </si>
  <si>
    <t xml:space="preserve">Note</t>
  </si>
  <si>
    <t xml:space="preserve">/about</t>
  </si>
  <si>
    <t xml:space="preserve">About Anoneurx | Mission &amp; Team</t>
  </si>
  <si>
    <t xml:space="preserve">Not verified</t>
  </si>
  <si>
    <t xml:space="preserve">I could not check whether this exists</t>
  </si>
  <si>
    <t xml:space="preserve">/blackwall</t>
  </si>
  <si>
    <t xml:space="preserve">Black Wall OS | Secure Operating System | Anoneurx</t>
  </si>
  <si>
    <t xml:space="preserve">Named on home page</t>
  </si>
  <si>
    <t xml:space="preserve">/nexora</t>
  </si>
  <si>
    <t xml:space="preserve">Nexora | AI &amp; Software Platform | Anoneurx</t>
  </si>
  <si>
    <t xml:space="preserve">/cloud</t>
  </si>
  <si>
    <t xml:space="preserve">Anoneurx Cloud | Scalable Cloud Hosting</t>
  </si>
  <si>
    <t xml:space="preserve">/pay</t>
  </si>
  <si>
    <t xml:space="preserve">Anoneurx Pay | Secure Digital Payments</t>
  </si>
  <si>
    <t xml:space="preserve">/research</t>
  </si>
  <si>
    <t xml:space="preserve">Research &amp; Publications | Anoneurx</t>
  </si>
  <si>
    <t xml:space="preserve">/docs</t>
  </si>
  <si>
    <t xml:space="preserve">Documentation | Anoneurx</t>
  </si>
  <si>
    <t xml:space="preserve">/blog</t>
  </si>
  <si>
    <t xml:space="preserve">Blog | Updates &amp; Insights | Anoneurx</t>
  </si>
  <si>
    <t xml:space="preserve">/careers</t>
  </si>
  <si>
    <t xml:space="preserve">Careers | Join Anoneurx</t>
  </si>
  <si>
    <t xml:space="preserve">/contact</t>
  </si>
  <si>
    <t xml:space="preserve">Contact Us | Anoneurx</t>
  </si>
  <si>
    <t xml:space="preserve">/privacy</t>
  </si>
  <si>
    <t xml:space="preserve">Privacy Policy | Anoneurx</t>
  </si>
  <si>
    <t xml:space="preserve">/terms</t>
  </si>
  <si>
    <t xml:space="preserve">Terms of Service | Anoneurx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</si>
</sst>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28"/>
    <col collapsed="false" customWidth="true" hidden="false" outlineLevel="0" max="14" min="14" style="0" width="50"/>
    <col collapsed="false" customWidth="true" hidden="false" outlineLevel="0" max="15" min="15" style="0" width="40"/>
    <col collapsed="false" customWidth="true" hidden="false" outlineLevel="0" max="16" min="16" style="0" width="5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s">
        <v>16</v>
      </c>
      <c r="B2" s="2" t="s">
        <v>17</v>
      </c>
      <c r="C2" s="2" t="n">
        <f aca="false">LEN(B2)</f>
        <v>59</v>
      </c>
      <c r="D2" s="2" t="str">
        <f aca="false">IF(AND(C2&gt;=30,C2&lt;=60),"OK","Check")</f>
        <v>OK</v>
      </c>
      <c r="E2" s="2" t="s">
        <v>18</v>
      </c>
      <c r="F2" s="2" t="n">
        <f aca="false">LEN(E2)</f>
        <v>151</v>
      </c>
      <c r="G2" s="2" t="str">
        <f aca="false">IF(AND(F2&gt;=70,F2&lt;=160),"OK","Check")</f>
        <v>OK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</row>
    <row r="3" customFormat="false" ht="35.05" hidden="false" customHeight="false" outlineLevel="0" collapsed="false">
      <c r="A3" s="2" t="s">
        <v>27</v>
      </c>
      <c r="B3" s="2" t="s">
        <v>28</v>
      </c>
      <c r="C3" s="2" t="n">
        <f aca="false">LEN(B3)</f>
        <v>56</v>
      </c>
      <c r="D3" s="2" t="str">
        <f aca="false">IF(AND(C3&gt;=30,C3&lt;=60),"OK","Check")</f>
        <v>OK</v>
      </c>
      <c r="E3" s="2" t="s">
        <v>29</v>
      </c>
      <c r="F3" s="2" t="n">
        <f aca="false">LEN(E3)</f>
        <v>127</v>
      </c>
      <c r="G3" s="2" t="str">
        <f aca="false">IF(AND(F3&gt;=70,F3&lt;=160),"OK","Check")</f>
        <v>OK</v>
      </c>
      <c r="H3" s="2" t="s">
        <v>19</v>
      </c>
      <c r="I3" s="2" t="s">
        <v>20</v>
      </c>
      <c r="J3" s="2" t="s">
        <v>21</v>
      </c>
      <c r="K3" s="2" t="s">
        <v>21</v>
      </c>
      <c r="L3" s="2" t="s">
        <v>22</v>
      </c>
      <c r="M3" s="2" t="s">
        <v>30</v>
      </c>
      <c r="N3" s="2" t="s">
        <v>31</v>
      </c>
      <c r="O3" s="2" t="s">
        <v>32</v>
      </c>
      <c r="P3" s="2" t="s">
        <v>33</v>
      </c>
    </row>
    <row r="4" customFormat="false" ht="46.25" hidden="false" customHeight="false" outlineLevel="0" collapsed="false">
      <c r="A4" s="2" t="s">
        <v>34</v>
      </c>
      <c r="B4" s="2" t="s">
        <v>35</v>
      </c>
      <c r="C4" s="2" t="n">
        <f aca="false">LEN(B4)</f>
        <v>59</v>
      </c>
      <c r="D4" s="2" t="str">
        <f aca="false">IF(AND(C4&gt;=30,C4&lt;=60),"OK","Check")</f>
        <v>OK</v>
      </c>
      <c r="E4" s="2" t="s">
        <v>36</v>
      </c>
      <c r="F4" s="2" t="n">
        <f aca="false">LEN(E4)</f>
        <v>199</v>
      </c>
      <c r="G4" s="2" t="str">
        <f aca="false">IF(AND(F4&gt;=70,F4&lt;=160),"OK","Check")</f>
        <v>Check</v>
      </c>
      <c r="H4" s="2" t="s">
        <v>19</v>
      </c>
      <c r="I4" s="2" t="s">
        <v>20</v>
      </c>
      <c r="J4" s="2" t="s">
        <v>21</v>
      </c>
      <c r="K4" s="2" t="s">
        <v>21</v>
      </c>
      <c r="L4" s="2" t="s">
        <v>22</v>
      </c>
      <c r="M4" s="2" t="s">
        <v>37</v>
      </c>
      <c r="N4" s="2" t="s">
        <v>38</v>
      </c>
      <c r="O4" s="2" t="s">
        <v>39</v>
      </c>
      <c r="P4" s="2" t="s">
        <v>40</v>
      </c>
    </row>
    <row r="5" customFormat="false" ht="35.05" hidden="false" customHeight="false" outlineLevel="0" collapsed="false">
      <c r="A5" s="2" t="s">
        <v>41</v>
      </c>
      <c r="B5" s="2" t="s">
        <v>42</v>
      </c>
      <c r="C5" s="2" t="n">
        <f aca="false">LEN(B5)</f>
        <v>51</v>
      </c>
      <c r="D5" s="2" t="str">
        <f aca="false">IF(AND(C5&gt;=30,C5&lt;=60),"OK","Check")</f>
        <v>OK</v>
      </c>
      <c r="E5" s="2" t="s">
        <v>43</v>
      </c>
      <c r="F5" s="2" t="n">
        <f aca="false">LEN(E5)</f>
        <v>86</v>
      </c>
      <c r="G5" s="2" t="str">
        <f aca="false">IF(AND(F5&gt;=70,F5&lt;=160),"OK","Check")</f>
        <v>OK</v>
      </c>
      <c r="H5" s="2" t="s">
        <v>19</v>
      </c>
      <c r="I5" s="2" t="s">
        <v>20</v>
      </c>
      <c r="J5" s="2" t="s">
        <v>21</v>
      </c>
      <c r="K5" s="2" t="s">
        <v>21</v>
      </c>
      <c r="L5" s="2" t="s">
        <v>22</v>
      </c>
      <c r="M5" s="2" t="s">
        <v>44</v>
      </c>
      <c r="N5" s="2" t="s">
        <v>45</v>
      </c>
      <c r="O5" s="2" t="s">
        <v>46</v>
      </c>
      <c r="P5" s="2" t="s">
        <v>47</v>
      </c>
    </row>
    <row r="7" customFormat="false" ht="15" hidden="false" customHeight="false" outlineLevel="0" collapsed="false">
      <c r="A7" s="3" t="s">
        <v>48</v>
      </c>
      <c r="C7" s="3" t="n">
        <f aca="false">COUNTIF(D2:D5,"Check")</f>
        <v>0</v>
      </c>
    </row>
    <row r="8" customFormat="false" ht="15" hidden="false" customHeight="false" outlineLevel="0" collapsed="false">
      <c r="A8" s="3" t="s">
        <v>49</v>
      </c>
      <c r="C8" s="3" t="n">
        <f aca="false">COUNTIF(G2:G5,"Check")</f>
        <v>1</v>
      </c>
    </row>
    <row r="10" customFormat="false" ht="15" hidden="false" customHeight="false" outlineLevel="0" collapsed="false">
      <c r="A10" s="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0"/>
    <col collapsed="false" customWidth="true" hidden="false" outlineLevel="0" max="3" min="3" style="0" width="3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5" t="s">
        <v>51</v>
      </c>
      <c r="B1" s="5" t="s">
        <v>52</v>
      </c>
      <c r="C1" s="5" t="s">
        <v>53</v>
      </c>
      <c r="D1" s="5" t="s">
        <v>54</v>
      </c>
    </row>
    <row r="2" customFormat="false" ht="23.85" hidden="false" customHeight="false" outlineLevel="0" collapsed="false">
      <c r="A2" s="2" t="s">
        <v>55</v>
      </c>
      <c r="B2" s="2" t="s">
        <v>56</v>
      </c>
      <c r="C2" s="2" t="s">
        <v>57</v>
      </c>
      <c r="D2" s="2" t="s">
        <v>58</v>
      </c>
    </row>
    <row r="3" customFormat="false" ht="15" hidden="false" customHeight="false" outlineLevel="0" collapsed="false">
      <c r="A3" s="2" t="s">
        <v>55</v>
      </c>
      <c r="B3" s="2" t="s">
        <v>59</v>
      </c>
      <c r="C3" s="2" t="s">
        <v>57</v>
      </c>
      <c r="D3" s="2" t="s">
        <v>60</v>
      </c>
    </row>
    <row r="4" customFormat="false" ht="15" hidden="false" customHeight="false" outlineLevel="0" collapsed="false">
      <c r="A4" s="2" t="s">
        <v>55</v>
      </c>
      <c r="B4" s="2" t="s">
        <v>61</v>
      </c>
      <c r="C4" s="2" t="s">
        <v>62</v>
      </c>
      <c r="D4" s="2" t="s">
        <v>58</v>
      </c>
    </row>
    <row r="5" customFormat="false" ht="15" hidden="false" customHeight="false" outlineLevel="0" collapsed="false">
      <c r="A5" s="2" t="s">
        <v>60</v>
      </c>
      <c r="B5" s="2" t="s">
        <v>63</v>
      </c>
      <c r="C5" s="2" t="s">
        <v>57</v>
      </c>
      <c r="D5" s="2" t="s">
        <v>58</v>
      </c>
    </row>
    <row r="6" customFormat="false" ht="15" hidden="false" customHeight="false" outlineLevel="0" collapsed="false">
      <c r="A6" s="2" t="s">
        <v>60</v>
      </c>
      <c r="B6" s="2" t="s">
        <v>64</v>
      </c>
      <c r="C6" s="2" t="s">
        <v>65</v>
      </c>
      <c r="D6" s="2" t="s">
        <v>58</v>
      </c>
    </row>
    <row r="7" customFormat="false" ht="15" hidden="false" customHeight="false" outlineLevel="0" collapsed="false">
      <c r="A7" s="2" t="s">
        <v>60</v>
      </c>
      <c r="B7" s="2" t="s">
        <v>66</v>
      </c>
      <c r="C7" s="2" t="s">
        <v>67</v>
      </c>
      <c r="D7" s="2" t="s">
        <v>58</v>
      </c>
    </row>
    <row r="8" customFormat="false" ht="23.85" hidden="false" customHeight="false" outlineLevel="0" collapsed="false">
      <c r="A8" s="2" t="s">
        <v>60</v>
      </c>
      <c r="B8" s="2" t="s">
        <v>68</v>
      </c>
      <c r="C8" s="2" t="s">
        <v>69</v>
      </c>
      <c r="D8" s="2" t="s">
        <v>60</v>
      </c>
    </row>
    <row r="9" customFormat="false" ht="15" hidden="false" customHeight="false" outlineLevel="0" collapsed="false">
      <c r="A9" s="2" t="s">
        <v>60</v>
      </c>
      <c r="B9" s="2" t="s">
        <v>70</v>
      </c>
      <c r="C9" s="2" t="s">
        <v>71</v>
      </c>
      <c r="D9" s="2" t="s">
        <v>58</v>
      </c>
    </row>
    <row r="10" customFormat="false" ht="15" hidden="false" customHeight="false" outlineLevel="0" collapsed="false">
      <c r="A10" s="2" t="s">
        <v>58</v>
      </c>
      <c r="B10" s="2" t="s">
        <v>72</v>
      </c>
      <c r="C10" s="2" t="s">
        <v>71</v>
      </c>
      <c r="D10" s="2" t="s">
        <v>58</v>
      </c>
    </row>
    <row r="11" customFormat="false" ht="15" hidden="false" customHeight="false" outlineLevel="0" collapsed="false">
      <c r="A11" s="2" t="s">
        <v>58</v>
      </c>
      <c r="B11" s="2" t="s">
        <v>73</v>
      </c>
      <c r="C11" s="2" t="s">
        <v>71</v>
      </c>
      <c r="D11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5" t="s">
        <v>74</v>
      </c>
      <c r="B1" s="5" t="s">
        <v>14</v>
      </c>
      <c r="C1" s="5" t="s">
        <v>75</v>
      </c>
      <c r="D1" s="5" t="s">
        <v>76</v>
      </c>
    </row>
    <row r="2" customFormat="false" ht="15" hidden="false" customHeight="false" outlineLevel="0" collapsed="false">
      <c r="A2" s="6" t="s">
        <v>77</v>
      </c>
      <c r="B2" s="6" t="s">
        <v>78</v>
      </c>
      <c r="C2" s="6" t="s">
        <v>79</v>
      </c>
      <c r="D2" s="6" t="s">
        <v>80</v>
      </c>
    </row>
    <row r="3" customFormat="false" ht="15" hidden="false" customHeight="false" outlineLevel="0" collapsed="false">
      <c r="A3" s="6" t="s">
        <v>81</v>
      </c>
      <c r="B3" s="6" t="s">
        <v>82</v>
      </c>
      <c r="C3" s="6" t="s">
        <v>79</v>
      </c>
      <c r="D3" s="6" t="s">
        <v>83</v>
      </c>
    </row>
    <row r="4" customFormat="false" ht="15" hidden="false" customHeight="false" outlineLevel="0" collapsed="false">
      <c r="A4" s="6" t="s">
        <v>84</v>
      </c>
      <c r="B4" s="6" t="s">
        <v>85</v>
      </c>
      <c r="C4" s="6" t="s">
        <v>79</v>
      </c>
      <c r="D4" s="6" t="s">
        <v>83</v>
      </c>
    </row>
    <row r="5" customFormat="false" ht="15" hidden="false" customHeight="false" outlineLevel="0" collapsed="false">
      <c r="A5" s="6" t="s">
        <v>86</v>
      </c>
      <c r="B5" s="6" t="s">
        <v>87</v>
      </c>
      <c r="C5" s="6" t="s">
        <v>79</v>
      </c>
      <c r="D5" s="6" t="s">
        <v>83</v>
      </c>
    </row>
    <row r="6" customFormat="false" ht="15" hidden="false" customHeight="false" outlineLevel="0" collapsed="false">
      <c r="A6" s="6" t="s">
        <v>88</v>
      </c>
      <c r="B6" s="6" t="s">
        <v>89</v>
      </c>
      <c r="C6" s="6" t="s">
        <v>79</v>
      </c>
      <c r="D6" s="6" t="s">
        <v>83</v>
      </c>
    </row>
    <row r="7" customFormat="false" ht="15" hidden="false" customHeight="false" outlineLevel="0" collapsed="false">
      <c r="A7" s="6" t="s">
        <v>90</v>
      </c>
      <c r="B7" s="6" t="s">
        <v>91</v>
      </c>
      <c r="C7" s="6" t="s">
        <v>79</v>
      </c>
      <c r="D7" s="6" t="s">
        <v>83</v>
      </c>
    </row>
    <row r="8" customFormat="false" ht="15" hidden="false" customHeight="false" outlineLevel="0" collapsed="false">
      <c r="A8" s="6" t="s">
        <v>92</v>
      </c>
      <c r="B8" s="6" t="s">
        <v>93</v>
      </c>
      <c r="C8" s="6" t="s">
        <v>79</v>
      </c>
      <c r="D8" s="6"/>
    </row>
    <row r="9" customFormat="false" ht="15" hidden="false" customHeight="false" outlineLevel="0" collapsed="false">
      <c r="A9" s="6" t="s">
        <v>94</v>
      </c>
      <c r="B9" s="6" t="s">
        <v>95</v>
      </c>
      <c r="C9" s="6" t="s">
        <v>79</v>
      </c>
      <c r="D9" s="6"/>
    </row>
    <row r="10" customFormat="false" ht="15" hidden="false" customHeight="false" outlineLevel="0" collapsed="false">
      <c r="A10" s="6" t="s">
        <v>96</v>
      </c>
      <c r="B10" s="6" t="s">
        <v>97</v>
      </c>
      <c r="C10" s="6" t="s">
        <v>79</v>
      </c>
      <c r="D10" s="6"/>
    </row>
    <row r="11" customFormat="false" ht="15" hidden="false" customHeight="false" outlineLevel="0" collapsed="false">
      <c r="A11" s="6" t="s">
        <v>98</v>
      </c>
      <c r="B11" s="6" t="s">
        <v>99</v>
      </c>
      <c r="C11" s="6" t="s">
        <v>79</v>
      </c>
      <c r="D11" s="6"/>
    </row>
    <row r="12" customFormat="false" ht="15" hidden="false" customHeight="false" outlineLevel="0" collapsed="false">
      <c r="A12" s="6" t="s">
        <v>100</v>
      </c>
      <c r="B12" s="6" t="s">
        <v>101</v>
      </c>
      <c r="C12" s="6" t="s">
        <v>79</v>
      </c>
      <c r="D12" s="6"/>
    </row>
    <row r="13" customFormat="false" ht="15" hidden="false" customHeight="false" outlineLevel="0" collapsed="false">
      <c r="A13" s="6" t="s">
        <v>102</v>
      </c>
      <c r="B13" s="6" t="s">
        <v>103</v>
      </c>
      <c r="C13" s="6" t="s">
        <v>79</v>
      </c>
      <c r="D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2026-10-03T10:04:28Z</dcterms:created>
  <dc:creator>openpyxl</dc:creator>
  <dc:description/>
  <dc:language>en-US</dc:language>
  <cp:lastModifiedBy/>
  <dcterms:modified xsi:type="dcterms:W3CDTF">2026-10-03T10:04:28Z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